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dger-Reconciliation\"/>
    </mc:Choice>
  </mc:AlternateContent>
  <xr:revisionPtr revIDLastSave="0" documentId="8_{7F28AF55-5DDF-4B61-99AF-C51C4EC170B2}" xr6:coauthVersionLast="47" xr6:coauthVersionMax="47" xr10:uidLastSave="{00000000-0000-0000-0000-000000000000}"/>
  <bookViews>
    <workbookView xWindow="-108" yWindow="-108" windowWidth="23256" windowHeight="13176" xr2:uid="{F5ACCF62-5501-4C4B-B429-08DBFCDC48A0}"/>
  </bookViews>
  <sheets>
    <sheet name="RE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9" i="1"/>
  <c r="E24" i="1"/>
  <c r="E29" i="1"/>
  <c r="F32" i="1" l="1"/>
  <c r="F34" i="1" s="1"/>
</calcChain>
</file>

<file path=xl/sharedStrings.xml><?xml version="1.0" encoding="utf-8"?>
<sst xmlns="http://schemas.openxmlformats.org/spreadsheetml/2006/main" count="47" uniqueCount="35">
  <si>
    <t>Our I.T. PAN No. : AAHCD9779K</t>
  </si>
  <si>
    <t xml:space="preserve">I.T. PAN No. </t>
  </si>
  <si>
    <t>Authorised Sign</t>
  </si>
  <si>
    <t>for M/s Durga Infra Mining Pvt Ltd</t>
  </si>
  <si>
    <t>for</t>
  </si>
  <si>
    <t>Yours faithfully,</t>
  </si>
  <si>
    <t>I/We hereby confirm the above</t>
  </si>
  <si>
    <t>Note:1</t>
  </si>
  <si>
    <t>Kasar &amp; Round off</t>
  </si>
  <si>
    <t>Disput Amount Is Part of Reconcile with Party's Ac</t>
  </si>
  <si>
    <t>Amount</t>
  </si>
  <si>
    <t>Date</t>
  </si>
  <si>
    <t>Particulars</t>
  </si>
  <si>
    <t>Our Credit Site Not Show In Party's Debit Site.</t>
  </si>
  <si>
    <t>D-4</t>
  </si>
  <si>
    <t>Our Debit Site Not Show In Party's Credit Site.</t>
  </si>
  <si>
    <t>C-3</t>
  </si>
  <si>
    <t>Party's Credit Site Not Show In Our Debit Site.</t>
  </si>
  <si>
    <t>B-2</t>
  </si>
  <si>
    <t>Party's Debit Site Not Show In Our Credit Site.</t>
  </si>
  <si>
    <t>A-1</t>
  </si>
  <si>
    <t>Particular</t>
  </si>
  <si>
    <t>Given below is the details of your accounts as standing in my Books of accounts for the above mentioned period and find the query/ dispute points / Bills not show in your Books of Accounts.</t>
  </si>
  <si>
    <t>Sub: Confirmation-Cum-Reconciliation of Accounts Ledger Balance with Annexure</t>
  </si>
  <si>
    <t>Dated: 01.04.2025</t>
  </si>
  <si>
    <t>Bhuj</t>
  </si>
  <si>
    <t xml:space="preserve"> </t>
  </si>
  <si>
    <t xml:space="preserve">2nd Floor, Station Road  </t>
  </si>
  <si>
    <t>202, Balaram Complex</t>
  </si>
  <si>
    <t>Durga Infra Mining Pvt Ltd</t>
  </si>
  <si>
    <t>From:</t>
  </si>
  <si>
    <t>1-Apr-2025 to 31-Mar-2026</t>
  </si>
  <si>
    <t>Closing Balance in my Books of Account  (FY-2025-26 )  As At 31/03/2026</t>
  </si>
  <si>
    <t>Closing Balance in your Books of Account (FY-2025-26 )  As At 31/03/2026</t>
  </si>
  <si>
    <t xml:space="preserve">To:-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</si>
</sst>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&quot;&quot;\F\o\r&quot;&quot;"/>
    <numFmt numFmtId="166" formatCode="0."/>
    <numFmt numFmtId="167" formatCode="_ * #,##0_ ;_ * \-#,##0_ ;_ * &quot;-&quot;??_ ;_ @_ "/>
  </numFmts>
  <fonts count="13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0"/>
      <name val="Verdana"/>
      <family val="2"/>
    </font>
    <font>
      <b/>
      <i/>
      <u/>
      <sz val="12"/>
      <name val="Aptos Narrow"/>
      <family val="2"/>
    </font>
    <font>
      <i/>
      <sz val="12"/>
      <color theme="1"/>
      <name val="Aptos Narrow"/>
      <family val="2"/>
    </font>
    <font>
      <sz val="11"/>
      <color theme="1"/>
      <name val="Aptos Narrow"/>
      <family val="2"/>
    </font>
    <font>
      <b/>
      <i/>
      <sz val="12"/>
      <color theme="1"/>
      <name val="Aptos Narrow"/>
      <family val="2"/>
    </font>
    <font>
      <i/>
      <sz val="12"/>
      <color theme="1" tint="0.249977111117893"/>
      <name val="Aptos Narrow"/>
      <family val="2"/>
    </font>
    <font>
      <i/>
      <sz val="12"/>
      <name val="Aptos Narrow"/>
      <family val="2"/>
    </font>
    <font>
      <b/>
      <i/>
      <sz val="12"/>
      <color theme="1" tint="0.249977111117893"/>
      <name val="Aptos Narrow"/>
      <family val="2"/>
    </font>
    <font>
      <b/>
      <i/>
      <sz val="12"/>
      <color theme="1" tint="4.9989318521683403E-2"/>
      <name val="Aptos Narrow"/>
      <family val="2"/>
    </font>
    <font>
      <b/>
      <i/>
      <sz val="12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6">
    <xf numFmtId="0" fontId="0" fillId="0" borderId="0" xfId="0"/>
    <xf numFmtId="0" fontId="4" fillId="0" borderId="9" xfId="0" applyFont="1" applyBorder="1"/>
    <xf numFmtId="0" fontId="5" fillId="0" borderId="0" xfId="0" applyFont="1"/>
    <xf numFmtId="0" fontId="8" fillId="0" borderId="1" xfId="2" applyFont="1" applyBorder="1" applyAlignment="1">
      <alignment vertical="top"/>
    </xf>
    <xf numFmtId="49" fontId="7" fillId="0" borderId="3" xfId="2" applyNumberFormat="1" applyFont="1" applyBorder="1" applyAlignment="1">
      <alignment vertical="top"/>
    </xf>
    <xf numFmtId="49" fontId="7" fillId="0" borderId="2" xfId="2" applyNumberFormat="1" applyFont="1" applyBorder="1" applyAlignment="1">
      <alignment vertical="top"/>
    </xf>
    <xf numFmtId="14" fontId="9" fillId="0" borderId="1" xfId="2" applyNumberFormat="1" applyFont="1" applyBorder="1" applyAlignment="1">
      <alignment horizontal="right" vertical="top"/>
    </xf>
    <xf numFmtId="49" fontId="11" fillId="0" borderId="14" xfId="2" applyNumberFormat="1" applyFont="1" applyBorder="1" applyAlignment="1">
      <alignment horizontal="center" vertical="top"/>
    </xf>
    <xf numFmtId="49" fontId="11" fillId="0" borderId="13" xfId="2" applyNumberFormat="1" applyFont="1" applyBorder="1" applyAlignment="1">
      <alignment horizontal="center" vertical="top" wrapText="1"/>
    </xf>
    <xf numFmtId="49" fontId="11" fillId="0" borderId="33" xfId="2" applyNumberFormat="1" applyFont="1" applyBorder="1" applyAlignment="1">
      <alignment horizontal="left" vertical="top" indent="4"/>
    </xf>
    <xf numFmtId="49" fontId="11" fillId="0" borderId="19" xfId="2" applyNumberFormat="1" applyFont="1" applyBorder="1" applyAlignment="1">
      <alignment horizontal="center" vertical="top" wrapText="1"/>
    </xf>
    <xf numFmtId="43" fontId="9" fillId="0" borderId="22" xfId="1" applyFont="1" applyBorder="1"/>
    <xf numFmtId="0" fontId="4" fillId="0" borderId="0" xfId="0" applyFont="1"/>
    <xf numFmtId="164" fontId="11" fillId="0" borderId="32" xfId="1" applyNumberFormat="1" applyFont="1" applyBorder="1"/>
    <xf numFmtId="164" fontId="11" fillId="0" borderId="24" xfId="1" applyNumberFormat="1" applyFont="1" applyBorder="1"/>
    <xf numFmtId="164" fontId="11" fillId="0" borderId="20" xfId="1" applyNumberFormat="1" applyFont="1" applyBorder="1"/>
    <xf numFmtId="49" fontId="11" fillId="0" borderId="22" xfId="2" applyNumberFormat="1" applyFont="1" applyBorder="1" applyAlignment="1">
      <alignment horizontal="left" vertical="top" indent="4"/>
    </xf>
    <xf numFmtId="49" fontId="11" fillId="0" borderId="22" xfId="2" applyNumberFormat="1" applyFont="1" applyBorder="1" applyAlignment="1">
      <alignment horizontal="center" vertical="top"/>
    </xf>
    <xf numFmtId="164" fontId="11" fillId="0" borderId="21" xfId="1" applyNumberFormat="1" applyFont="1" applyBorder="1" applyAlignment="1">
      <alignment vertical="center"/>
    </xf>
    <xf numFmtId="166" fontId="7" fillId="0" borderId="5" xfId="0" applyNumberFormat="1" applyFont="1" applyBorder="1" applyAlignment="1">
      <alignment horizontal="center"/>
    </xf>
    <xf numFmtId="0" fontId="7" fillId="0" borderId="22" xfId="0" applyFont="1" applyBorder="1" applyAlignment="1">
      <alignment horizontal="right" vertical="center"/>
    </xf>
    <xf numFmtId="14" fontId="7" fillId="0" borderId="22" xfId="0" applyNumberFormat="1" applyFont="1" applyBorder="1" applyAlignment="1">
      <alignment horizontal="right" vertical="center"/>
    </xf>
    <xf numFmtId="167" fontId="7" fillId="0" borderId="22" xfId="1" applyNumberFormat="1" applyFont="1" applyBorder="1"/>
    <xf numFmtId="164" fontId="11" fillId="0" borderId="21" xfId="1" applyNumberFormat="1" applyFont="1" applyBorder="1"/>
    <xf numFmtId="0" fontId="7" fillId="0" borderId="17" xfId="0" applyFont="1" applyBorder="1" applyAlignment="1">
      <alignment horizontal="center"/>
    </xf>
    <xf numFmtId="14" fontId="7" fillId="0" borderId="17" xfId="0" applyNumberFormat="1" applyFont="1" applyBorder="1" applyAlignment="1">
      <alignment horizontal="right"/>
    </xf>
    <xf numFmtId="164" fontId="7" fillId="0" borderId="17" xfId="1" applyNumberFormat="1" applyFont="1" applyBorder="1"/>
    <xf numFmtId="164" fontId="11" fillId="0" borderId="31" xfId="1" applyNumberFormat="1" applyFont="1" applyBorder="1"/>
    <xf numFmtId="164" fontId="11" fillId="0" borderId="16" xfId="1" applyNumberFormat="1" applyFont="1" applyBorder="1"/>
    <xf numFmtId="164" fontId="7" fillId="0" borderId="22" xfId="1" applyNumberFormat="1" applyFont="1" applyBorder="1"/>
    <xf numFmtId="166" fontId="7" fillId="0" borderId="3" xfId="0" applyNumberFormat="1" applyFont="1" applyBorder="1" applyAlignment="1">
      <alignment horizontal="center"/>
    </xf>
    <xf numFmtId="0" fontId="7" fillId="0" borderId="30" xfId="0" applyFont="1" applyBorder="1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164" fontId="7" fillId="0" borderId="30" xfId="1" applyNumberFormat="1" applyFont="1" applyBorder="1"/>
    <xf numFmtId="164" fontId="11" fillId="0" borderId="29" xfId="1" applyNumberFormat="1" applyFont="1" applyBorder="1"/>
    <xf numFmtId="164" fontId="11" fillId="0" borderId="16" xfId="1" applyNumberFormat="1" applyFont="1" applyBorder="1" applyAlignment="1">
      <alignment vertical="center"/>
    </xf>
    <xf numFmtId="14" fontId="7" fillId="0" borderId="22" xfId="0" quotePrefix="1" applyNumberFormat="1" applyFont="1" applyBorder="1" applyAlignment="1">
      <alignment horizontal="right" vertical="center"/>
    </xf>
    <xf numFmtId="166" fontId="8" fillId="0" borderId="5" xfId="0" applyNumberFormat="1" applyFont="1" applyBorder="1" applyAlignment="1">
      <alignment horizontal="center"/>
    </xf>
    <xf numFmtId="164" fontId="11" fillId="0" borderId="19" xfId="1" applyNumberFormat="1" applyFont="1" applyBorder="1" applyAlignment="1">
      <alignment horizontal="center"/>
    </xf>
    <xf numFmtId="164" fontId="11" fillId="2" borderId="13" xfId="1" applyNumberFormat="1" applyFont="1" applyFill="1" applyBorder="1" applyAlignment="1">
      <alignment vertical="center"/>
    </xf>
    <xf numFmtId="164" fontId="11" fillId="0" borderId="4" xfId="1" applyNumberFormat="1" applyFont="1" applyBorder="1"/>
    <xf numFmtId="0" fontId="11" fillId="0" borderId="11" xfId="0" applyFont="1" applyBorder="1"/>
    <xf numFmtId="0" fontId="4" fillId="0" borderId="5" xfId="0" applyFont="1" applyBorder="1"/>
    <xf numFmtId="0" fontId="4" fillId="0" borderId="3" xfId="0" applyFont="1" applyBorder="1"/>
    <xf numFmtId="0" fontId="11" fillId="0" borderId="10" xfId="2" applyFont="1" applyBorder="1" applyAlignment="1">
      <alignment vertical="top"/>
    </xf>
    <xf numFmtId="0" fontId="8" fillId="0" borderId="10" xfId="2" applyFont="1" applyBorder="1" applyAlignment="1">
      <alignment vertical="top"/>
    </xf>
    <xf numFmtId="49" fontId="8" fillId="0" borderId="9" xfId="2" applyNumberFormat="1" applyFont="1" applyBorder="1" applyAlignment="1">
      <alignment horizontal="right" vertical="top"/>
    </xf>
    <xf numFmtId="165" fontId="6" fillId="0" borderId="5" xfId="2" applyNumberFormat="1" applyFont="1" applyBorder="1" applyAlignment="1">
      <alignment vertical="top"/>
    </xf>
    <xf numFmtId="49" fontId="8" fillId="0" borderId="0" xfId="2" applyNumberFormat="1" applyFont="1" applyAlignment="1">
      <alignment horizontal="left" vertical="top" wrapText="1"/>
    </xf>
    <xf numFmtId="49" fontId="8" fillId="0" borderId="5" xfId="2" applyNumberFormat="1" applyFont="1" applyBorder="1" applyAlignment="1">
      <alignment vertical="top" wrapText="1"/>
    </xf>
    <xf numFmtId="49" fontId="8" fillId="0" borderId="4" xfId="2" applyNumberFormat="1" applyFont="1" applyBorder="1" applyAlignment="1">
      <alignment horizontal="left" vertical="top" wrapText="1"/>
    </xf>
    <xf numFmtId="0" fontId="8" fillId="0" borderId="5" xfId="2" applyFont="1" applyBorder="1" applyAlignment="1">
      <alignment vertical="top"/>
    </xf>
    <xf numFmtId="0" fontId="8" fillId="0" borderId="0" xfId="2" applyFont="1" applyAlignment="1">
      <alignment vertical="top"/>
    </xf>
    <xf numFmtId="0" fontId="11" fillId="0" borderId="0" xfId="2" applyFont="1" applyAlignment="1">
      <alignment vertical="top"/>
    </xf>
    <xf numFmtId="49" fontId="8" fillId="0" borderId="4" xfId="2" applyNumberFormat="1" applyFont="1" applyBorder="1" applyAlignment="1">
      <alignment vertical="top"/>
    </xf>
    <xf numFmtId="0" fontId="11" fillId="0" borderId="2" xfId="2" applyFont="1" applyBorder="1" applyAlignment="1">
      <alignment vertical="top"/>
    </xf>
    <xf numFmtId="0" fontId="4" fillId="0" borderId="5" xfId="0" applyFont="1" applyBorder="1" applyAlignment="1">
      <alignment horizontal="center"/>
    </xf>
    <xf numFmtId="49" fontId="11" fillId="0" borderId="34" xfId="2" applyNumberFormat="1" applyFont="1" applyBorder="1" applyAlignment="1">
      <alignment horizontal="center" vertical="top"/>
    </xf>
    <xf numFmtId="49" fontId="11" fillId="0" borderId="33" xfId="2" applyNumberFormat="1" applyFont="1" applyBorder="1" applyAlignment="1">
      <alignment horizontal="center" vertical="top"/>
    </xf>
    <xf numFmtId="0" fontId="12" fillId="0" borderId="0" xfId="0" applyFont="1"/>
    <xf numFmtId="49" fontId="7" fillId="0" borderId="5" xfId="2" applyNumberFormat="1" applyFont="1" applyBorder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49" fontId="7" fillId="0" borderId="4" xfId="2" applyNumberFormat="1" applyFont="1" applyBorder="1" applyAlignment="1">
      <alignment horizontal="left" vertical="top"/>
    </xf>
    <xf numFmtId="49" fontId="11" fillId="0" borderId="11" xfId="2" applyNumberFormat="1" applyFont="1" applyBorder="1" applyAlignment="1">
      <alignment horizontal="left" vertical="top"/>
    </xf>
    <xf numFmtId="49" fontId="11" fillId="0" borderId="10" xfId="2" applyNumberFormat="1" applyFont="1" applyBorder="1" applyAlignment="1">
      <alignment horizontal="left" vertical="top"/>
    </xf>
    <xf numFmtId="49" fontId="3" fillId="0" borderId="11" xfId="2" applyNumberFormat="1" applyFont="1" applyBorder="1" applyAlignment="1">
      <alignment horizontal="left" vertical="top"/>
    </xf>
    <xf numFmtId="49" fontId="3" fillId="0" borderId="10" xfId="2" applyNumberFormat="1" applyFont="1" applyBorder="1" applyAlignment="1">
      <alignment horizontal="left" vertical="top"/>
    </xf>
    <xf numFmtId="49" fontId="3" fillId="0" borderId="9" xfId="2" applyNumberFormat="1" applyFont="1" applyBorder="1" applyAlignment="1">
      <alignment horizontal="left" vertical="top"/>
    </xf>
    <xf numFmtId="49" fontId="6" fillId="0" borderId="5" xfId="2" applyNumberFormat="1" applyFont="1" applyBorder="1" applyAlignment="1">
      <alignment horizontal="left" vertical="top"/>
    </xf>
    <xf numFmtId="49" fontId="6" fillId="0" borderId="0" xfId="2" applyNumberFormat="1" applyFont="1" applyAlignment="1">
      <alignment horizontal="left" vertical="top"/>
    </xf>
    <xf numFmtId="49" fontId="6" fillId="0" borderId="4" xfId="2" applyNumberFormat="1" applyFont="1" applyBorder="1" applyAlignment="1">
      <alignment horizontal="left" vertical="top"/>
    </xf>
    <xf numFmtId="49" fontId="8" fillId="0" borderId="3" xfId="2" applyNumberFormat="1" applyFont="1" applyBorder="1" applyAlignment="1">
      <alignment horizontal="left" vertical="top"/>
    </xf>
    <xf numFmtId="49" fontId="8" fillId="0" borderId="2" xfId="2" applyNumberFormat="1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11" fillId="0" borderId="3" xfId="2" applyNumberFormat="1" applyFont="1" applyBorder="1" applyAlignment="1">
      <alignment horizontal="center" vertical="top"/>
    </xf>
    <xf numFmtId="49" fontId="11" fillId="0" borderId="2" xfId="2" applyNumberFormat="1" applyFont="1" applyBorder="1" applyAlignment="1">
      <alignment horizontal="center" vertical="top"/>
    </xf>
    <xf numFmtId="49" fontId="11" fillId="0" borderId="1" xfId="2" applyNumberFormat="1" applyFont="1" applyBorder="1" applyAlignment="1">
      <alignment horizontal="center" vertical="top"/>
    </xf>
    <xf numFmtId="49" fontId="7" fillId="0" borderId="11" xfId="2" applyNumberFormat="1" applyFont="1" applyBorder="1" applyAlignment="1">
      <alignment vertical="top" wrapText="1"/>
    </xf>
    <xf numFmtId="49" fontId="7" fillId="0" borderId="10" xfId="2" applyNumberFormat="1" applyFont="1" applyBorder="1" applyAlignment="1">
      <alignment vertical="top" wrapText="1"/>
    </xf>
    <xf numFmtId="49" fontId="7" fillId="0" borderId="9" xfId="2" applyNumberFormat="1" applyFont="1" applyBorder="1" applyAlignment="1">
      <alignment vertical="top" wrapText="1"/>
    </xf>
    <xf numFmtId="49" fontId="11" fillId="0" borderId="34" xfId="2" applyNumberFormat="1" applyFont="1" applyBorder="1" applyAlignment="1">
      <alignment horizontal="center" vertical="top"/>
    </xf>
    <xf numFmtId="49" fontId="11" fillId="0" borderId="33" xfId="2" applyNumberFormat="1" applyFont="1" applyBorder="1" applyAlignment="1">
      <alignment horizontal="center" vertical="top"/>
    </xf>
    <xf numFmtId="49" fontId="11" fillId="0" borderId="35" xfId="2" applyNumberFormat="1" applyFont="1" applyBorder="1" applyAlignment="1">
      <alignment horizontal="center" vertical="top"/>
    </xf>
    <xf numFmtId="0" fontId="11" fillId="0" borderId="34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1" fillId="0" borderId="2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vertical="top" wrapText="1"/>
    </xf>
    <xf numFmtId="0" fontId="11" fillId="0" borderId="26" xfId="0" applyFont="1" applyBorder="1" applyAlignment="1">
      <alignment vertical="top" wrapText="1"/>
    </xf>
    <xf numFmtId="0" fontId="11" fillId="0" borderId="25" xfId="0" applyFont="1" applyBorder="1" applyAlignment="1">
      <alignment vertical="top" wrapText="1"/>
    </xf>
    <xf numFmtId="49" fontId="10" fillId="0" borderId="11" xfId="2" applyNumberFormat="1" applyFont="1" applyBorder="1" applyAlignment="1">
      <alignment horizontal="center" vertical="top"/>
    </xf>
    <xf numFmtId="49" fontId="10" fillId="0" borderId="10" xfId="2" applyNumberFormat="1" applyFont="1" applyBorder="1" applyAlignment="1">
      <alignment horizontal="center" vertical="top"/>
    </xf>
    <xf numFmtId="49" fontId="10" fillId="0" borderId="9" xfId="2" applyNumberFormat="1" applyFont="1" applyBorder="1" applyAlignment="1">
      <alignment horizontal="center" vertical="top"/>
    </xf>
    <xf numFmtId="0" fontId="8" fillId="0" borderId="2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49" fontId="11" fillId="0" borderId="3" xfId="2" applyNumberFormat="1" applyFont="1" applyBorder="1" applyAlignment="1">
      <alignment horizontal="left" vertical="top"/>
    </xf>
    <xf numFmtId="49" fontId="11" fillId="0" borderId="2" xfId="2" applyNumberFormat="1" applyFont="1" applyBorder="1" applyAlignment="1">
      <alignment horizontal="left" vertical="top"/>
    </xf>
    <xf numFmtId="49" fontId="11" fillId="0" borderId="2" xfId="2" applyNumberFormat="1" applyFont="1" applyBorder="1" applyAlignment="1">
      <alignment horizontal="right" vertical="top"/>
    </xf>
    <xf numFmtId="49" fontId="11" fillId="0" borderId="1" xfId="2" applyNumberFormat="1" applyFont="1" applyBorder="1" applyAlignment="1">
      <alignment horizontal="right" vertical="top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49" fontId="6" fillId="0" borderId="8" xfId="2" applyNumberFormat="1" applyFont="1" applyBorder="1" applyAlignment="1">
      <alignment horizontal="center" vertical="top" wrapText="1"/>
    </xf>
    <xf numFmtId="49" fontId="6" fillId="0" borderId="7" xfId="2" applyNumberFormat="1" applyFont="1" applyBorder="1" applyAlignment="1">
      <alignment horizontal="center" vertical="top" wrapText="1"/>
    </xf>
    <xf numFmtId="49" fontId="6" fillId="0" borderId="6" xfId="2" applyNumberFormat="1" applyFont="1" applyBorder="1" applyAlignment="1">
      <alignment horizontal="center" vertical="top" wrapText="1"/>
    </xf>
    <xf numFmtId="0" fontId="8" fillId="0" borderId="18" xfId="0" applyFont="1" applyBorder="1" applyAlignment="1">
      <alignment horizontal="right"/>
    </xf>
    <xf numFmtId="0" fontId="8" fillId="0" borderId="17" xfId="0" applyFont="1" applyBorder="1" applyAlignment="1">
      <alignment horizontal="right"/>
    </xf>
    <xf numFmtId="0" fontId="11" fillId="0" borderId="15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9" fontId="8" fillId="0" borderId="11" xfId="2" applyNumberFormat="1" applyFont="1" applyBorder="1" applyAlignment="1">
      <alignment vertical="top" wrapText="1"/>
    </xf>
    <xf numFmtId="49" fontId="8" fillId="0" borderId="10" xfId="2" applyNumberFormat="1" applyFont="1" applyBorder="1" applyAlignment="1">
      <alignment vertical="top" wrapText="1"/>
    </xf>
    <xf numFmtId="0" fontId="6" fillId="0" borderId="0" xfId="2" applyFont="1" applyAlignment="1">
      <alignment horizontal="right" vertical="top"/>
    </xf>
    <xf numFmtId="0" fontId="6" fillId="0" borderId="4" xfId="2" applyFont="1" applyBorder="1" applyAlignment="1">
      <alignment horizontal="right" vertical="top"/>
    </xf>
  </cellXfs>
  <cellStyles count="3">
    <cellStyle name="Comma" xfId="1" builtinId="3"/>
    <cellStyle name="Normal" xfId="0" builtinId="0"/>
    <cellStyle name="Normal_Sheet1 2 2" xfId="2" xr:uid="{4180AEE9-358F-42BA-8E62-74091CDDD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6780-DA70-44EC-8490-3C29358EEC49}">
  <dimension ref="A1:F46"/>
  <sheetViews>
    <sheetView tabSelected="1" topLeftCell="A11" workbookViewId="0">
      <selection activeCell="E19" sqref="E19"/>
    </sheetView>
  </sheetViews>
  <sheetFormatPr defaultRowHeight="14.4" x14ac:dyDescent="0.3"/>
  <cols>
    <col min="1" max="1" width="8.6640625" style="2" customWidth="1"/>
    <col min="2" max="2" width="37.6640625" style="2" customWidth="1"/>
    <col min="3" max="3" width="12.44140625" style="2" bestFit="1" customWidth="1"/>
    <col min="4" max="4" width="18.88671875" style="2" bestFit="1" customWidth="1"/>
    <col min="5" max="5" width="18.33203125" style="2" bestFit="1" customWidth="1"/>
    <col min="6" max="6" width="19.88671875" style="2" bestFit="1" customWidth="1"/>
    <col min="7" max="16384" width="8.88671875" style="2"/>
  </cols>
  <sheetData>
    <row r="1" spans="1:6" ht="15.6" x14ac:dyDescent="0.3">
      <c r="A1" s="63" t="s">
        <v>34</v>
      </c>
      <c r="B1" s="64"/>
      <c r="C1" s="1"/>
      <c r="D1" s="65" t="s">
        <v>30</v>
      </c>
      <c r="E1" s="66"/>
      <c r="F1" s="67"/>
    </row>
    <row r="2" spans="1:6" ht="15.6" x14ac:dyDescent="0.3">
      <c r="A2" s="68"/>
      <c r="B2" s="69"/>
      <c r="C2" s="70"/>
      <c r="D2" s="68" t="s">
        <v>29</v>
      </c>
      <c r="E2" s="69"/>
      <c r="F2" s="70"/>
    </row>
    <row r="3" spans="1:6" ht="15.6" x14ac:dyDescent="0.3">
      <c r="A3" s="60"/>
      <c r="B3" s="61"/>
      <c r="C3" s="62"/>
      <c r="D3" s="60" t="s">
        <v>28</v>
      </c>
      <c r="E3" s="61"/>
      <c r="F3" s="62"/>
    </row>
    <row r="4" spans="1:6" ht="15.6" x14ac:dyDescent="0.3">
      <c r="A4" s="60"/>
      <c r="B4" s="61"/>
      <c r="C4" s="62"/>
      <c r="D4" s="60" t="s">
        <v>27</v>
      </c>
      <c r="E4" s="61"/>
      <c r="F4" s="62"/>
    </row>
    <row r="5" spans="1:6" ht="15.6" x14ac:dyDescent="0.3">
      <c r="A5" s="60" t="s">
        <v>26</v>
      </c>
      <c r="B5" s="61"/>
      <c r="C5" s="62"/>
      <c r="D5" s="60" t="s">
        <v>25</v>
      </c>
      <c r="E5" s="61"/>
      <c r="F5" s="62"/>
    </row>
    <row r="6" spans="1:6" ht="16.2" thickBot="1" x14ac:dyDescent="0.35">
      <c r="A6" s="71"/>
      <c r="B6" s="72"/>
      <c r="C6" s="3"/>
      <c r="D6" s="4" t="s">
        <v>24</v>
      </c>
      <c r="E6" s="5"/>
      <c r="F6" s="6"/>
    </row>
    <row r="7" spans="1:6" ht="15.6" x14ac:dyDescent="0.3">
      <c r="A7" s="94" t="s">
        <v>23</v>
      </c>
      <c r="B7" s="95"/>
      <c r="C7" s="95"/>
      <c r="D7" s="95"/>
      <c r="E7" s="95"/>
      <c r="F7" s="96"/>
    </row>
    <row r="8" spans="1:6" ht="16.2" thickBot="1" x14ac:dyDescent="0.35">
      <c r="A8" s="76" t="s">
        <v>31</v>
      </c>
      <c r="B8" s="77"/>
      <c r="C8" s="77"/>
      <c r="D8" s="77"/>
      <c r="E8" s="77"/>
      <c r="F8" s="78"/>
    </row>
    <row r="9" spans="1:6" ht="16.2" thickBot="1" x14ac:dyDescent="0.35">
      <c r="A9" s="79" t="s">
        <v>22</v>
      </c>
      <c r="B9" s="80"/>
      <c r="C9" s="80"/>
      <c r="D9" s="80"/>
      <c r="E9" s="80"/>
      <c r="F9" s="81"/>
    </row>
    <row r="10" spans="1:6" ht="16.2" thickBot="1" x14ac:dyDescent="0.35">
      <c r="A10" s="82" t="s">
        <v>21</v>
      </c>
      <c r="B10" s="83"/>
      <c r="C10" s="83"/>
      <c r="D10" s="84"/>
      <c r="E10" s="7" t="s">
        <v>10</v>
      </c>
      <c r="F10" s="8" t="s">
        <v>10</v>
      </c>
    </row>
    <row r="11" spans="1:6" ht="16.2" thickBot="1" x14ac:dyDescent="0.35">
      <c r="A11" s="57"/>
      <c r="B11" s="9"/>
      <c r="C11" s="58"/>
      <c r="D11" s="58"/>
      <c r="E11" s="58"/>
      <c r="F11" s="10"/>
    </row>
    <row r="12" spans="1:6" ht="16.2" thickBot="1" x14ac:dyDescent="0.35">
      <c r="A12" s="85" t="s">
        <v>32</v>
      </c>
      <c r="B12" s="86"/>
      <c r="C12" s="86"/>
      <c r="D12" s="86"/>
      <c r="E12" s="86"/>
      <c r="F12" s="11">
        <v>853295</v>
      </c>
    </row>
    <row r="13" spans="1:6" ht="16.2" thickBot="1" x14ac:dyDescent="0.35">
      <c r="A13" s="87"/>
      <c r="B13" s="88"/>
      <c r="C13" s="88"/>
      <c r="D13" s="88"/>
      <c r="E13" s="12"/>
      <c r="F13" s="13"/>
    </row>
    <row r="14" spans="1:6" ht="15.6" x14ac:dyDescent="0.3">
      <c r="A14" s="89" t="s">
        <v>20</v>
      </c>
      <c r="B14" s="91" t="s">
        <v>19</v>
      </c>
      <c r="C14" s="92"/>
      <c r="D14" s="93"/>
      <c r="E14" s="14"/>
      <c r="F14" s="15"/>
    </row>
    <row r="15" spans="1:6" ht="15.6" x14ac:dyDescent="0.3">
      <c r="A15" s="90"/>
      <c r="B15" s="16" t="s">
        <v>12</v>
      </c>
      <c r="C15" s="17" t="s">
        <v>11</v>
      </c>
      <c r="D15" s="17" t="s">
        <v>10</v>
      </c>
      <c r="E15" s="18">
        <f>SUM(D16:D17)</f>
        <v>0</v>
      </c>
      <c r="F15" s="15"/>
    </row>
    <row r="16" spans="1:6" ht="15.6" x14ac:dyDescent="0.3">
      <c r="A16" s="19">
        <v>1</v>
      </c>
      <c r="B16" s="20"/>
      <c r="C16" s="21"/>
      <c r="D16" s="22"/>
      <c r="E16" s="23"/>
      <c r="F16" s="15"/>
    </row>
    <row r="17" spans="1:6" ht="16.2" thickBot="1" x14ac:dyDescent="0.35">
      <c r="A17" s="19"/>
      <c r="B17" s="24"/>
      <c r="C17" s="25"/>
      <c r="D17" s="26"/>
      <c r="E17" s="23"/>
      <c r="F17" s="15"/>
    </row>
    <row r="18" spans="1:6" ht="15.6" x14ac:dyDescent="0.3">
      <c r="A18" s="89" t="s">
        <v>18</v>
      </c>
      <c r="B18" s="91" t="s">
        <v>17</v>
      </c>
      <c r="C18" s="92"/>
      <c r="D18" s="93"/>
      <c r="E18" s="27"/>
      <c r="F18" s="15"/>
    </row>
    <row r="19" spans="1:6" ht="15.6" x14ac:dyDescent="0.3">
      <c r="A19" s="90"/>
      <c r="B19" s="16" t="s">
        <v>12</v>
      </c>
      <c r="C19" s="17" t="s">
        <v>11</v>
      </c>
      <c r="D19" s="17" t="s">
        <v>10</v>
      </c>
      <c r="E19" s="28">
        <f>-SUM(D20:D21)</f>
        <v>0</v>
      </c>
      <c r="F19" s="15"/>
    </row>
    <row r="20" spans="1:6" ht="15.6" x14ac:dyDescent="0.3">
      <c r="A20" s="19">
        <v>1</v>
      </c>
      <c r="B20" s="20"/>
      <c r="C20" s="21"/>
      <c r="D20" s="29"/>
      <c r="E20" s="28"/>
      <c r="F20" s="15"/>
    </row>
    <row r="21" spans="1:6" ht="16.2" thickBot="1" x14ac:dyDescent="0.35">
      <c r="A21" s="30"/>
      <c r="B21" s="31"/>
      <c r="C21" s="32"/>
      <c r="D21" s="33"/>
      <c r="E21" s="34"/>
      <c r="F21" s="15"/>
    </row>
    <row r="22" spans="1:6" ht="16.2" thickBot="1" x14ac:dyDescent="0.35">
      <c r="A22" s="56"/>
      <c r="B22" s="97"/>
      <c r="C22" s="98"/>
      <c r="D22" s="99"/>
      <c r="E22" s="23"/>
      <c r="F22" s="15"/>
    </row>
    <row r="23" spans="1:6" ht="15.6" x14ac:dyDescent="0.3">
      <c r="A23" s="89" t="s">
        <v>16</v>
      </c>
      <c r="B23" s="91" t="s">
        <v>15</v>
      </c>
      <c r="C23" s="92"/>
      <c r="D23" s="93"/>
      <c r="E23" s="27"/>
      <c r="F23" s="15"/>
    </row>
    <row r="24" spans="1:6" ht="15.6" x14ac:dyDescent="0.3">
      <c r="A24" s="90"/>
      <c r="B24" s="16" t="s">
        <v>12</v>
      </c>
      <c r="C24" s="17" t="s">
        <v>11</v>
      </c>
      <c r="D24" s="17" t="s">
        <v>10</v>
      </c>
      <c r="E24" s="35">
        <f>SUM(D25:D25)</f>
        <v>0</v>
      </c>
      <c r="F24" s="15"/>
    </row>
    <row r="25" spans="1:6" ht="15.6" x14ac:dyDescent="0.3">
      <c r="A25" s="19">
        <v>1</v>
      </c>
      <c r="B25" s="20"/>
      <c r="C25" s="36"/>
      <c r="D25" s="29"/>
      <c r="E25" s="28"/>
      <c r="F25" s="15"/>
    </row>
    <row r="26" spans="1:6" ht="16.2" thickBot="1" x14ac:dyDescent="0.35">
      <c r="A26" s="30"/>
      <c r="B26" s="32"/>
      <c r="C26" s="31"/>
      <c r="D26" s="33"/>
      <c r="E26" s="34"/>
      <c r="F26" s="15"/>
    </row>
    <row r="27" spans="1:6" ht="16.2" thickBot="1" x14ac:dyDescent="0.35">
      <c r="A27" s="37"/>
      <c r="B27" s="73"/>
      <c r="C27" s="74"/>
      <c r="D27" s="75"/>
      <c r="E27" s="23"/>
      <c r="F27" s="15"/>
    </row>
    <row r="28" spans="1:6" ht="15.6" x14ac:dyDescent="0.3">
      <c r="A28" s="89" t="s">
        <v>14</v>
      </c>
      <c r="B28" s="91" t="s">
        <v>13</v>
      </c>
      <c r="C28" s="92"/>
      <c r="D28" s="93"/>
      <c r="E28" s="14"/>
      <c r="F28" s="15"/>
    </row>
    <row r="29" spans="1:6" ht="15.6" x14ac:dyDescent="0.3">
      <c r="A29" s="90"/>
      <c r="B29" s="16" t="s">
        <v>12</v>
      </c>
      <c r="C29" s="17" t="s">
        <v>11</v>
      </c>
      <c r="D29" s="17" t="s">
        <v>10</v>
      </c>
      <c r="E29" s="18">
        <f>-SUM(D30:D31)</f>
        <v>0</v>
      </c>
      <c r="F29" s="15"/>
    </row>
    <row r="30" spans="1:6" ht="15.6" x14ac:dyDescent="0.3">
      <c r="A30" s="19">
        <v>1</v>
      </c>
      <c r="B30" s="20"/>
      <c r="C30" s="36"/>
      <c r="D30" s="29"/>
      <c r="E30" s="23"/>
      <c r="F30" s="15"/>
    </row>
    <row r="31" spans="1:6" ht="16.2" thickBot="1" x14ac:dyDescent="0.35">
      <c r="A31" s="19"/>
      <c r="B31" s="20"/>
      <c r="C31" s="36"/>
      <c r="D31" s="29"/>
      <c r="E31" s="23"/>
      <c r="F31" s="15"/>
    </row>
    <row r="32" spans="1:6" ht="16.2" thickBot="1" x14ac:dyDescent="0.35">
      <c r="A32" s="104" t="s">
        <v>9</v>
      </c>
      <c r="B32" s="105"/>
      <c r="C32" s="105"/>
      <c r="D32" s="105"/>
      <c r="E32" s="105"/>
      <c r="F32" s="38">
        <f>ROUND(SUM(E14:E31),2)</f>
        <v>0</v>
      </c>
    </row>
    <row r="33" spans="1:6" ht="16.2" thickBot="1" x14ac:dyDescent="0.35">
      <c r="A33" s="109" t="s">
        <v>8</v>
      </c>
      <c r="B33" s="110"/>
      <c r="C33" s="110"/>
      <c r="D33" s="110"/>
      <c r="E33" s="110"/>
      <c r="F33" s="28"/>
    </row>
    <row r="34" spans="1:6" ht="16.2" thickBot="1" x14ac:dyDescent="0.35">
      <c r="A34" s="111" t="s">
        <v>33</v>
      </c>
      <c r="B34" s="112"/>
      <c r="C34" s="112"/>
      <c r="D34" s="112"/>
      <c r="E34" s="112"/>
      <c r="F34" s="39">
        <f>ROUND(SUM(F12+F32+F33),2)</f>
        <v>853295</v>
      </c>
    </row>
    <row r="35" spans="1:6" ht="16.2" thickBot="1" x14ac:dyDescent="0.35">
      <c r="A35" s="113"/>
      <c r="B35" s="114"/>
      <c r="C35" s="114"/>
      <c r="D35" s="114"/>
      <c r="E35" s="115"/>
      <c r="F35" s="40"/>
    </row>
    <row r="36" spans="1:6" ht="15.6" x14ac:dyDescent="0.3">
      <c r="A36" s="41" t="s">
        <v>7</v>
      </c>
      <c r="B36" s="116"/>
      <c r="C36" s="116"/>
      <c r="D36" s="116"/>
      <c r="E36" s="116"/>
      <c r="F36" s="117"/>
    </row>
    <row r="37" spans="1:6" ht="15.6" x14ac:dyDescent="0.3">
      <c r="A37" s="42"/>
      <c r="B37" s="118"/>
      <c r="C37" s="118"/>
      <c r="D37" s="118"/>
      <c r="E37" s="118"/>
      <c r="F37" s="119"/>
    </row>
    <row r="38" spans="1:6" ht="16.2" thickBot="1" x14ac:dyDescent="0.35">
      <c r="A38" s="43"/>
      <c r="B38" s="120"/>
      <c r="C38" s="120"/>
      <c r="D38" s="120"/>
      <c r="E38" s="120"/>
      <c r="F38" s="121"/>
    </row>
    <row r="39" spans="1:6" ht="15.6" x14ac:dyDescent="0.3">
      <c r="A39" s="122" t="s">
        <v>6</v>
      </c>
      <c r="B39" s="123"/>
      <c r="C39" s="44"/>
      <c r="D39" s="45"/>
      <c r="E39" s="44"/>
      <c r="F39" s="46" t="s">
        <v>5</v>
      </c>
    </row>
    <row r="40" spans="1:6" ht="15.6" x14ac:dyDescent="0.3">
      <c r="A40" s="47" t="s">
        <v>4</v>
      </c>
      <c r="B40" s="59"/>
      <c r="C40" s="48"/>
      <c r="D40" s="124" t="s">
        <v>3</v>
      </c>
      <c r="E40" s="124"/>
      <c r="F40" s="125"/>
    </row>
    <row r="41" spans="1:6" ht="15.6" x14ac:dyDescent="0.3">
      <c r="A41" s="49"/>
      <c r="B41" s="48"/>
      <c r="C41" s="48"/>
      <c r="D41" s="48"/>
      <c r="E41" s="48"/>
      <c r="F41" s="50"/>
    </row>
    <row r="42" spans="1:6" ht="15.6" x14ac:dyDescent="0.3">
      <c r="A42" s="49"/>
      <c r="B42" s="48"/>
      <c r="C42" s="48"/>
      <c r="D42" s="48"/>
      <c r="E42" s="48"/>
      <c r="F42" s="50"/>
    </row>
    <row r="43" spans="1:6" ht="15.6" x14ac:dyDescent="0.3">
      <c r="A43" s="49"/>
      <c r="B43" s="48"/>
      <c r="C43" s="48"/>
      <c r="D43" s="48"/>
      <c r="E43" s="48"/>
      <c r="F43" s="50"/>
    </row>
    <row r="44" spans="1:6" ht="15.6" x14ac:dyDescent="0.3">
      <c r="A44" s="106" t="s">
        <v>2</v>
      </c>
      <c r="B44" s="107"/>
      <c r="C44" s="48"/>
      <c r="D44" s="48"/>
      <c r="E44" s="107" t="s">
        <v>2</v>
      </c>
      <c r="F44" s="108"/>
    </row>
    <row r="45" spans="1:6" ht="15.6" x14ac:dyDescent="0.3">
      <c r="A45" s="51"/>
      <c r="B45" s="52"/>
      <c r="C45" s="53"/>
      <c r="D45" s="52"/>
      <c r="E45" s="53"/>
      <c r="F45" s="54"/>
    </row>
    <row r="46" spans="1:6" ht="16.2" thickBot="1" x14ac:dyDescent="0.35">
      <c r="A46" s="100" t="s">
        <v>1</v>
      </c>
      <c r="B46" s="101"/>
      <c r="C46" s="55"/>
      <c r="D46" s="102" t="s">
        <v>0</v>
      </c>
      <c r="E46" s="102"/>
      <c r="F46" s="103"/>
    </row>
  </sheetData>
  <mergeCells count="38">
    <mergeCell ref="A46:B46"/>
    <mergeCell ref="D46:F46"/>
    <mergeCell ref="A28:A29"/>
    <mergeCell ref="B28:D28"/>
    <mergeCell ref="A32:E32"/>
    <mergeCell ref="A44:B44"/>
    <mergeCell ref="E44:F44"/>
    <mergeCell ref="A33:E33"/>
    <mergeCell ref="A34:E34"/>
    <mergeCell ref="A35:E35"/>
    <mergeCell ref="B36:F38"/>
    <mergeCell ref="A39:B39"/>
    <mergeCell ref="D40:F40"/>
    <mergeCell ref="A6:B6"/>
    <mergeCell ref="B27:D27"/>
    <mergeCell ref="A8:F8"/>
    <mergeCell ref="A9:F9"/>
    <mergeCell ref="A10:D10"/>
    <mergeCell ref="A12:E12"/>
    <mergeCell ref="A13:D13"/>
    <mergeCell ref="A14:A15"/>
    <mergeCell ref="B14:D14"/>
    <mergeCell ref="A7:F7"/>
    <mergeCell ref="A18:A19"/>
    <mergeCell ref="B18:D18"/>
    <mergeCell ref="B22:D22"/>
    <mergeCell ref="A23:A24"/>
    <mergeCell ref="B23:D23"/>
    <mergeCell ref="A4:C4"/>
    <mergeCell ref="D4:F4"/>
    <mergeCell ref="A5:C5"/>
    <mergeCell ref="A1:B1"/>
    <mergeCell ref="D1:F1"/>
    <mergeCell ref="A2:C2"/>
    <mergeCell ref="D2:F2"/>
    <mergeCell ref="A3:C3"/>
    <mergeCell ref="D3:F3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 | DIMPL</dc:creator>
  <cp:lastModifiedBy>Tirth Chhabhaiya | DIMPL</cp:lastModifiedBy>
  <cp:lastPrinted>2025-09-22T11:55:58Z</cp:lastPrinted>
  <dcterms:created xsi:type="dcterms:W3CDTF">2025-09-13T10:55:24Z</dcterms:created>
  <dcterms:modified xsi:type="dcterms:W3CDTF">2026-08-17T11:24:02Z</dcterms:modified>
</cp:coreProperties>
</file>